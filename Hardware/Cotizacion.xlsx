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Debian\home\esneiderlg\repoVT\sga-unal-palmira\Hardware\"/>
    </mc:Choice>
  </mc:AlternateContent>
  <xr:revisionPtr revIDLastSave="0" documentId="13_ncr:1_{62B92A5D-4845-467B-9A48-CFCADE346E7B}" xr6:coauthVersionLast="47" xr6:coauthVersionMax="47" xr10:uidLastSave="{00000000-0000-0000-0000-000000000000}"/>
  <bookViews>
    <workbookView xWindow="-120" yWindow="-120" windowWidth="29040" windowHeight="15840" xr2:uid="{F7E60E79-78CA-45D4-AF1A-046033B5381E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9" i="1" l="1"/>
  <c r="I8" i="1"/>
  <c r="B22" i="1"/>
  <c r="B26" i="1" s="1"/>
  <c r="R5" i="2"/>
  <c r="B13" i="1" s="1"/>
  <c r="F17" i="2"/>
  <c r="G6" i="2"/>
  <c r="G7" i="2"/>
  <c r="G8" i="2"/>
  <c r="G3" i="2"/>
  <c r="G4" i="2"/>
  <c r="G5" i="2"/>
  <c r="G2" i="2"/>
  <c r="G17" i="2" s="1"/>
  <c r="C14" i="2"/>
  <c r="C13" i="2"/>
  <c r="C12" i="2"/>
  <c r="B11" i="2"/>
  <c r="B17" i="2" s="1"/>
  <c r="C3" i="2"/>
  <c r="C4" i="2"/>
  <c r="C5" i="2"/>
  <c r="C6" i="2"/>
  <c r="C7" i="2"/>
  <c r="C8" i="2"/>
  <c r="C9" i="2"/>
  <c r="C10" i="2"/>
  <c r="C2" i="2"/>
  <c r="C11" i="2" l="1"/>
  <c r="C17" i="2"/>
  <c r="B2" i="1" l="1"/>
  <c r="B6" i="1" s="1"/>
  <c r="B11" i="1"/>
  <c r="B18" i="1" s="1"/>
  <c r="I1" i="1" s="1"/>
  <c r="I4" i="1" l="1"/>
  <c r="I3" i="1"/>
  <c r="I7" i="1" s="1"/>
</calcChain>
</file>

<file path=xl/sharedStrings.xml><?xml version="1.0" encoding="utf-8"?>
<sst xmlns="http://schemas.openxmlformats.org/spreadsheetml/2006/main" count="60" uniqueCount="48">
  <si>
    <t>Modulo VT</t>
  </si>
  <si>
    <t>ESP32</t>
  </si>
  <si>
    <t>GPS</t>
  </si>
  <si>
    <t>LORA</t>
  </si>
  <si>
    <t>CN3722</t>
  </si>
  <si>
    <t>COMPONENTES PASIVO</t>
  </si>
  <si>
    <t>CAJA</t>
  </si>
  <si>
    <t>ANTENA LORA</t>
  </si>
  <si>
    <t>BATERIAS</t>
  </si>
  <si>
    <t>ENVIOS</t>
  </si>
  <si>
    <t>DÓLAR</t>
  </si>
  <si>
    <t>PCB</t>
  </si>
  <si>
    <t>PRENSA ESTOPA</t>
  </si>
  <si>
    <t>TOTAL</t>
  </si>
  <si>
    <t>Conectorees ipermeables</t>
  </si>
  <si>
    <t xml:space="preserve">Armado </t>
  </si>
  <si>
    <t>Modulo VT Gateway</t>
  </si>
  <si>
    <t>Raspberry</t>
  </si>
  <si>
    <t>Caja</t>
  </si>
  <si>
    <t>POE</t>
  </si>
  <si>
    <t>Cable</t>
  </si>
  <si>
    <t>POE pasovo</t>
  </si>
  <si>
    <t>Pcb</t>
  </si>
  <si>
    <t>Micro SD</t>
  </si>
  <si>
    <t>POZO 1</t>
  </si>
  <si>
    <t>Modulo Pulzo a MODBUS</t>
  </si>
  <si>
    <t>(OPCIONAL utilizar modulo si no se enucntra encriptado)</t>
  </si>
  <si>
    <t>Cableado</t>
  </si>
  <si>
    <t>Panel mas estructura</t>
  </si>
  <si>
    <t>total</t>
  </si>
  <si>
    <t>POZO 2</t>
  </si>
  <si>
    <t>Cargador</t>
  </si>
  <si>
    <t>WIKA 4-10 (0-100 psi)</t>
  </si>
  <si>
    <t>Sensor caudal a espera de limpieza</t>
  </si>
  <si>
    <t>Sensor</t>
  </si>
  <si>
    <t>Gateway</t>
  </si>
  <si>
    <t>TOTAL X30</t>
  </si>
  <si>
    <t xml:space="preserve">total </t>
  </si>
  <si>
    <t>Bateria</t>
  </si>
  <si>
    <t>Suma Hardware</t>
  </si>
  <si>
    <t>Suma Software</t>
  </si>
  <si>
    <t>Envio  Hardware</t>
  </si>
  <si>
    <t>Importacion</t>
  </si>
  <si>
    <t>Mano de obra instalacion</t>
  </si>
  <si>
    <t>Mano de obra Hardware</t>
  </si>
  <si>
    <t>Sub Total</t>
  </si>
  <si>
    <t>Total +  IVA</t>
  </si>
  <si>
    <t>Utilidad 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</si>
</sst>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44" fontId="0" fillId="0" borderId="0" xfId="1" applyFont="1"/>
    <xf numFmtId="44" fontId="0" fillId="0" borderId="0" xfId="0" applyNumberFormat="1"/>
    <xf numFmtId="0" fontId="0" fillId="0" borderId="0" xfId="0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6EE50-0B12-461A-96C2-5CA139EA51CB}">
  <dimension ref="A1:K27"/>
  <sheetViews>
    <sheetView tabSelected="1" topLeftCell="B1" zoomScale="175" zoomScaleNormal="175" workbookViewId="0">
      <selection activeCell="I9" sqref="I9"/>
    </sheetView>
  </sheetViews>
  <sheetFormatPr baseColWidth="10" defaultRowHeight="15" x14ac:dyDescent="0.25"/>
  <cols>
    <col min="1" max="1" width="23.140625" bestFit="1" customWidth="1"/>
    <col min="2" max="2" width="18.42578125" style="1" customWidth="1"/>
    <col min="8" max="8" width="23.42578125" bestFit="1" customWidth="1"/>
    <col min="9" max="9" width="16" style="1" bestFit="1" customWidth="1"/>
    <col min="11" max="11" width="15" bestFit="1" customWidth="1"/>
  </cols>
  <sheetData>
    <row r="1" spans="1:11" x14ac:dyDescent="0.25">
      <c r="A1" s="3" t="s">
        <v>24</v>
      </c>
      <c r="B1" s="3"/>
      <c r="C1" s="3"/>
      <c r="D1" s="3"/>
      <c r="H1" t="s">
        <v>39</v>
      </c>
      <c r="I1" s="1">
        <f>B6+B18+B26</f>
        <v>5482012</v>
      </c>
    </row>
    <row r="2" spans="1:11" x14ac:dyDescent="0.25">
      <c r="A2" t="s">
        <v>0</v>
      </c>
      <c r="B2" s="1">
        <f>Hoja2!C17</f>
        <v>962806</v>
      </c>
      <c r="H2" t="s">
        <v>40</v>
      </c>
      <c r="I2" s="1">
        <v>7500000</v>
      </c>
    </row>
    <row r="3" spans="1:11" x14ac:dyDescent="0.25">
      <c r="A3" t="s">
        <v>25</v>
      </c>
      <c r="B3" s="1">
        <v>150000</v>
      </c>
      <c r="C3" t="s">
        <v>26</v>
      </c>
      <c r="H3" t="s">
        <v>41</v>
      </c>
      <c r="I3" s="1">
        <f>I1*0.12</f>
        <v>657841.43999999994</v>
      </c>
    </row>
    <row r="4" spans="1:11" x14ac:dyDescent="0.25">
      <c r="A4" t="s">
        <v>27</v>
      </c>
      <c r="B4" s="1">
        <v>50000</v>
      </c>
      <c r="H4" t="s">
        <v>42</v>
      </c>
      <c r="I4" s="1">
        <f>I1*0.35</f>
        <v>1918704.2</v>
      </c>
    </row>
    <row r="5" spans="1:11" x14ac:dyDescent="0.25">
      <c r="A5" t="s">
        <v>28</v>
      </c>
      <c r="B5" s="1">
        <v>200000</v>
      </c>
      <c r="H5" t="s">
        <v>44</v>
      </c>
      <c r="I5" s="1">
        <v>650000</v>
      </c>
    </row>
    <row r="6" spans="1:11" x14ac:dyDescent="0.25">
      <c r="A6" t="s">
        <v>29</v>
      </c>
      <c r="B6" s="1">
        <f>SUM(B2:B5)</f>
        <v>1362806</v>
      </c>
      <c r="H6" t="s">
        <v>43</v>
      </c>
      <c r="I6" s="1">
        <v>600000</v>
      </c>
    </row>
    <row r="7" spans="1:11" x14ac:dyDescent="0.25">
      <c r="A7" t="s">
        <v>37</v>
      </c>
      <c r="H7" t="s">
        <v>45</v>
      </c>
      <c r="I7" s="1">
        <f>SUM(I1:I6)</f>
        <v>16808557.640000001</v>
      </c>
      <c r="K7" s="2"/>
    </row>
    <row r="8" spans="1:11" x14ac:dyDescent="0.25">
      <c r="H8" t="s">
        <v>46</v>
      </c>
      <c r="I8" s="1">
        <f>I7*1.2</f>
        <v>20170269.168000001</v>
      </c>
    </row>
    <row r="9" spans="1:11" x14ac:dyDescent="0.25">
      <c r="H9" t="s">
        <v>47</v>
      </c>
      <c r="I9" s="1">
        <f>I8*1.2</f>
        <v>24204323.001600001</v>
      </c>
    </row>
    <row r="10" spans="1:11" x14ac:dyDescent="0.25">
      <c r="A10" s="3" t="s">
        <v>30</v>
      </c>
      <c r="B10" s="3"/>
      <c r="C10" s="3"/>
      <c r="D10" s="3"/>
    </row>
    <row r="11" spans="1:11" x14ac:dyDescent="0.25">
      <c r="A11" t="s">
        <v>0</v>
      </c>
      <c r="B11" s="1">
        <f>Hoja2!C17</f>
        <v>962806</v>
      </c>
    </row>
    <row r="12" spans="1:11" x14ac:dyDescent="0.25">
      <c r="A12" t="s">
        <v>25</v>
      </c>
      <c r="B12" s="1">
        <v>150000</v>
      </c>
      <c r="C12" t="s">
        <v>26</v>
      </c>
    </row>
    <row r="13" spans="1:11" x14ac:dyDescent="0.25">
      <c r="A13" t="s">
        <v>32</v>
      </c>
      <c r="B13" s="1">
        <f>Hoja2!R5</f>
        <v>1330000</v>
      </c>
    </row>
    <row r="15" spans="1:11" x14ac:dyDescent="0.25">
      <c r="A15" t="s">
        <v>33</v>
      </c>
    </row>
    <row r="16" spans="1:11" x14ac:dyDescent="0.25">
      <c r="A16" t="s">
        <v>27</v>
      </c>
      <c r="B16" s="1">
        <v>100000</v>
      </c>
    </row>
    <row r="17" spans="1:4" x14ac:dyDescent="0.25">
      <c r="A17" t="s">
        <v>31</v>
      </c>
      <c r="B17" s="1">
        <v>120000</v>
      </c>
    </row>
    <row r="18" spans="1:4" x14ac:dyDescent="0.25">
      <c r="A18" t="s">
        <v>29</v>
      </c>
      <c r="B18" s="1">
        <f>SUM(B11:B17)</f>
        <v>2662806</v>
      </c>
    </row>
    <row r="19" spans="1:4" x14ac:dyDescent="0.25">
      <c r="A19" t="s">
        <v>36</v>
      </c>
    </row>
    <row r="21" spans="1:4" x14ac:dyDescent="0.25">
      <c r="A21" s="3" t="s">
        <v>35</v>
      </c>
      <c r="B21" s="3"/>
      <c r="C21" s="3"/>
      <c r="D21" s="3"/>
    </row>
    <row r="22" spans="1:4" x14ac:dyDescent="0.25">
      <c r="A22" t="s">
        <v>0</v>
      </c>
      <c r="B22" s="1">
        <f>Hoja2!G17</f>
        <v>1056400</v>
      </c>
    </row>
    <row r="23" spans="1:4" x14ac:dyDescent="0.25">
      <c r="A23" t="s">
        <v>38</v>
      </c>
      <c r="B23" s="1">
        <v>150000</v>
      </c>
    </row>
    <row r="24" spans="1:4" x14ac:dyDescent="0.25">
      <c r="A24" t="s">
        <v>27</v>
      </c>
      <c r="B24" s="1">
        <v>50000</v>
      </c>
    </row>
    <row r="25" spans="1:4" x14ac:dyDescent="0.25">
      <c r="A25" t="s">
        <v>28</v>
      </c>
      <c r="B25" s="1">
        <v>200000</v>
      </c>
    </row>
    <row r="26" spans="1:4" x14ac:dyDescent="0.25">
      <c r="A26" t="s">
        <v>29</v>
      </c>
      <c r="B26" s="1">
        <f>SUM(B22:B25)</f>
        <v>1456400</v>
      </c>
    </row>
    <row r="27" spans="1:4" x14ac:dyDescent="0.25">
      <c r="A27" t="s">
        <v>37</v>
      </c>
    </row>
  </sheetData>
  <mergeCells count="3">
    <mergeCell ref="A1:D1"/>
    <mergeCell ref="A10:D10"/>
    <mergeCell ref="A21:D21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908F6-0BAC-4562-AE05-2FE90F87F37D}">
  <dimension ref="A1:R17"/>
  <sheetViews>
    <sheetView workbookViewId="0">
      <selection activeCell="Q6" sqref="Q6"/>
    </sheetView>
  </sheetViews>
  <sheetFormatPr baseColWidth="10" defaultRowHeight="15" x14ac:dyDescent="0.25"/>
  <cols>
    <col min="1" max="1" width="24" bestFit="1" customWidth="1"/>
    <col min="2" max="2" width="12" style="1" bestFit="1" customWidth="1"/>
    <col min="3" max="3" width="14.5703125" bestFit="1" customWidth="1"/>
    <col min="7" max="7" width="14.5703125" bestFit="1" customWidth="1"/>
    <col min="18" max="18" width="14.5703125" bestFit="1" customWidth="1"/>
  </cols>
  <sheetData>
    <row r="1" spans="1:18" x14ac:dyDescent="0.25">
      <c r="A1" s="3" t="s">
        <v>0</v>
      </c>
      <c r="B1" s="3"/>
      <c r="E1" s="3" t="s">
        <v>16</v>
      </c>
      <c r="F1" s="3"/>
    </row>
    <row r="2" spans="1:18" x14ac:dyDescent="0.25">
      <c r="A2" t="s">
        <v>1</v>
      </c>
      <c r="B2" s="1">
        <v>4.37</v>
      </c>
      <c r="C2" s="2">
        <f>B2*K$2</f>
        <v>16606</v>
      </c>
      <c r="E2" t="s">
        <v>17</v>
      </c>
      <c r="F2" s="1">
        <v>120</v>
      </c>
      <c r="G2" s="2">
        <f>F2*K$2</f>
        <v>456000</v>
      </c>
      <c r="J2" t="s">
        <v>10</v>
      </c>
      <c r="K2">
        <v>3800</v>
      </c>
    </row>
    <row r="3" spans="1:18" x14ac:dyDescent="0.25">
      <c r="A3" t="s">
        <v>2</v>
      </c>
      <c r="B3" s="1">
        <v>18</v>
      </c>
      <c r="C3" s="2">
        <f t="shared" ref="C3:C14" si="0">B3*K$2</f>
        <v>68400</v>
      </c>
      <c r="E3" t="s">
        <v>18</v>
      </c>
      <c r="F3" s="1">
        <v>18</v>
      </c>
      <c r="G3" s="2">
        <f t="shared" ref="G3:G8" si="1">F3*K$2</f>
        <v>68400</v>
      </c>
    </row>
    <row r="4" spans="1:18" x14ac:dyDescent="0.25">
      <c r="A4" t="s">
        <v>3</v>
      </c>
      <c r="B4" s="1">
        <v>7</v>
      </c>
      <c r="C4" s="2">
        <f t="shared" si="0"/>
        <v>26600</v>
      </c>
      <c r="E4" t="s">
        <v>19</v>
      </c>
      <c r="F4" s="1">
        <v>20</v>
      </c>
      <c r="G4" s="2">
        <f t="shared" si="1"/>
        <v>76000</v>
      </c>
    </row>
    <row r="5" spans="1:18" x14ac:dyDescent="0.25">
      <c r="A5" t="s">
        <v>4</v>
      </c>
      <c r="B5" s="1">
        <v>5</v>
      </c>
      <c r="C5" s="2">
        <f t="shared" si="0"/>
        <v>19000</v>
      </c>
      <c r="E5" t="s">
        <v>20</v>
      </c>
      <c r="F5" s="1">
        <v>25</v>
      </c>
      <c r="G5" s="2">
        <f t="shared" si="1"/>
        <v>95000</v>
      </c>
      <c r="P5" t="s">
        <v>34</v>
      </c>
      <c r="Q5" s="1">
        <v>350</v>
      </c>
      <c r="R5" s="2">
        <f>K2*Q5</f>
        <v>1330000</v>
      </c>
    </row>
    <row r="6" spans="1:18" x14ac:dyDescent="0.25">
      <c r="A6" t="s">
        <v>5</v>
      </c>
      <c r="B6" s="1">
        <v>30</v>
      </c>
      <c r="C6" s="2">
        <f t="shared" si="0"/>
        <v>114000</v>
      </c>
      <c r="E6" t="s">
        <v>21</v>
      </c>
      <c r="F6" s="1">
        <v>12</v>
      </c>
      <c r="G6" s="2">
        <f t="shared" si="1"/>
        <v>45600</v>
      </c>
    </row>
    <row r="7" spans="1:18" x14ac:dyDescent="0.25">
      <c r="A7" t="s">
        <v>6</v>
      </c>
      <c r="B7" s="1">
        <v>5</v>
      </c>
      <c r="C7" s="2">
        <f t="shared" si="0"/>
        <v>19000</v>
      </c>
      <c r="E7" t="s">
        <v>22</v>
      </c>
      <c r="F7" s="1">
        <v>23</v>
      </c>
      <c r="G7" s="2">
        <f t="shared" si="1"/>
        <v>87400</v>
      </c>
    </row>
    <row r="8" spans="1:18" x14ac:dyDescent="0.25">
      <c r="A8" t="s">
        <v>7</v>
      </c>
      <c r="B8" s="1">
        <v>5</v>
      </c>
      <c r="C8" s="2">
        <f t="shared" si="0"/>
        <v>19000</v>
      </c>
      <c r="E8" t="s">
        <v>23</v>
      </c>
      <c r="F8" s="1">
        <v>60</v>
      </c>
      <c r="G8" s="2">
        <f t="shared" si="1"/>
        <v>228000</v>
      </c>
    </row>
    <row r="9" spans="1:18" x14ac:dyDescent="0.25">
      <c r="A9" t="s">
        <v>8</v>
      </c>
      <c r="B9" s="1">
        <v>20</v>
      </c>
      <c r="C9" s="2">
        <f t="shared" si="0"/>
        <v>76000</v>
      </c>
      <c r="F9" s="1"/>
      <c r="G9" s="2"/>
    </row>
    <row r="10" spans="1:18" x14ac:dyDescent="0.25">
      <c r="A10" t="s">
        <v>9</v>
      </c>
      <c r="B10" s="1">
        <v>60</v>
      </c>
      <c r="C10" s="2">
        <f t="shared" si="0"/>
        <v>228000</v>
      </c>
    </row>
    <row r="11" spans="1:18" x14ac:dyDescent="0.25">
      <c r="A11" t="s">
        <v>11</v>
      </c>
      <c r="B11" s="1">
        <f>5+18</f>
        <v>23</v>
      </c>
      <c r="C11" s="2">
        <f t="shared" si="0"/>
        <v>87400</v>
      </c>
    </row>
    <row r="12" spans="1:18" x14ac:dyDescent="0.25">
      <c r="A12" t="s">
        <v>12</v>
      </c>
      <c r="B12" s="1">
        <v>6</v>
      </c>
      <c r="C12" s="2">
        <f t="shared" si="0"/>
        <v>22800</v>
      </c>
    </row>
    <row r="13" spans="1:18" x14ac:dyDescent="0.25">
      <c r="A13" t="s">
        <v>14</v>
      </c>
      <c r="B13" s="1">
        <v>30</v>
      </c>
      <c r="C13" s="2">
        <f t="shared" si="0"/>
        <v>114000</v>
      </c>
    </row>
    <row r="14" spans="1:18" x14ac:dyDescent="0.25">
      <c r="A14" t="s">
        <v>15</v>
      </c>
      <c r="B14" s="1">
        <v>40</v>
      </c>
      <c r="C14" s="2">
        <f t="shared" si="0"/>
        <v>152000</v>
      </c>
    </row>
    <row r="17" spans="1:7" x14ac:dyDescent="0.25">
      <c r="A17" t="s">
        <v>13</v>
      </c>
      <c r="B17" s="1">
        <f>SUM(B2:B16)</f>
        <v>253.37</v>
      </c>
      <c r="C17" s="2">
        <f>SUM(C2:C16)</f>
        <v>962806</v>
      </c>
      <c r="E17" t="s">
        <v>13</v>
      </c>
      <c r="F17" s="1">
        <f>SUM(F2:F16)</f>
        <v>278</v>
      </c>
      <c r="G17" s="2">
        <f>SUM(G2:G16)</f>
        <v>1056400</v>
      </c>
    </row>
  </sheetData>
  <mergeCells count="2">
    <mergeCell ref="A1:B1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Misael E. Losada Gomez</dc:creator>
  <cp:lastModifiedBy>Esneider</cp:lastModifiedBy>
  <dcterms:created xsi:type="dcterms:W3CDTF">2026-03-03T18:39:53Z</dcterms:created>
  <dcterms:modified xsi:type="dcterms:W3CDTF">2026-03-05T17:41:30Z</dcterms:modified>
</cp:coreProperties>
</file>